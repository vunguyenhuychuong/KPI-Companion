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66925"/>
  <xr:revisionPtr revIDLastSave="0" documentId="13_ncr:1_{073DB45D-F969-414E-B9C8-8E390DA23E3E}" xr6:coauthVersionLast="36" xr6:coauthVersionMax="36" xr10:uidLastSave="{00000000-0000-0000-0000-000000000000}"/>
  <bookViews>
    <workbookView xWindow="0" yWindow="0" windowWidth="28800" windowHeight="12150" xr2:uid="{00000000-000D-0000-FFFF-FFFF00000000}"/>
  </bookViews>
  <sheets>
    <sheet name="ManageEngine Report Framework" sheetId="1" r:id="rId1"/>
  </sheets>
  <definedNames>
    <definedName name="JR_PAGE_ANCHOR_0_1">'ManageEngine Report Framework'!$A$1</definedName>
  </definedNames>
  <calcPr calcId="191029"/>
</workbook>
</file>

<file path=xl/calcChain.xml><?xml version="1.0" encoding="utf-8"?>
<calcChain xmlns="http://schemas.openxmlformats.org/spreadsheetml/2006/main">
  <c r="AC9" i="1" l="1"/>
  <c r="AC10" i="1"/>
  <c r="AC11" i="1"/>
  <c r="AC12" i="1"/>
  <c r="AC13" i="1"/>
  <c r="AC14" i="1"/>
  <c r="AC8" i="1"/>
  <c r="AB9" i="1"/>
  <c r="AB10" i="1"/>
  <c r="AB11" i="1"/>
  <c r="AB12" i="1"/>
  <c r="AB13" i="1"/>
  <c r="AB14" i="1"/>
  <c r="AB8" i="1"/>
  <c r="AA9" i="1"/>
  <c r="AA10" i="1"/>
  <c r="AA11" i="1"/>
  <c r="AA12" i="1"/>
  <c r="AA13" i="1"/>
  <c r="AA14" i="1"/>
  <c r="AA8" i="1"/>
  <c r="R9" i="1"/>
  <c r="R10" i="1"/>
  <c r="R11" i="1"/>
  <c r="R12" i="1"/>
  <c r="R13" i="1"/>
  <c r="R14" i="1"/>
  <c r="R8" i="1"/>
  <c r="P9" i="1"/>
  <c r="P10" i="1"/>
  <c r="P11" i="1"/>
  <c r="P12" i="1"/>
  <c r="P13" i="1"/>
  <c r="P14" i="1"/>
  <c r="P8" i="1"/>
  <c r="O9" i="1"/>
  <c r="O10" i="1"/>
  <c r="O11" i="1"/>
  <c r="O12" i="1"/>
  <c r="O13" i="1"/>
  <c r="O14" i="1"/>
  <c r="O8" i="1"/>
  <c r="H9" i="1"/>
  <c r="H10" i="1"/>
  <c r="H11" i="1"/>
  <c r="H12" i="1"/>
  <c r="H13" i="1"/>
  <c r="H14" i="1"/>
  <c r="H8" i="1"/>
</calcChain>
</file>

<file path=xl/sharedStrings.xml><?xml version="1.0" encoding="utf-8"?>
<sst xmlns="http://schemas.openxmlformats.org/spreadsheetml/2006/main" count="172" uniqueCount="64">
  <si>
    <t>VNG Corporation</t>
  </si>
  <si>
    <t>Requests</t>
  </si>
  <si>
    <t>Generated by Tính. Hồ Tính  on : Jun 15, 2026 04:24 PM</t>
  </si>
  <si>
    <t>Total records : 7</t>
  </si>
  <si>
    <t>Request ID</t>
  </si>
  <si>
    <t>Subject</t>
  </si>
  <si>
    <t>Requester</t>
  </si>
  <si>
    <t>Technician</t>
  </si>
  <si>
    <t>Urgency</t>
  </si>
  <si>
    <t>Created Date</t>
  </si>
  <si>
    <t>DueBy Date</t>
  </si>
  <si>
    <t>Status</t>
  </si>
  <si>
    <t>Site</t>
  </si>
  <si>
    <t>Priority</t>
  </si>
  <si>
    <t>Group</t>
  </si>
  <si>
    <t>Is Service Request</t>
  </si>
  <si>
    <t>Created By</t>
  </si>
  <si>
    <t>Completed Date</t>
  </si>
  <si>
    <t>Assigned Time</t>
  </si>
  <si>
    <t>Approval Status</t>
  </si>
  <si>
    <t>Last Update Time</t>
  </si>
  <si>
    <t>Impact</t>
  </si>
  <si>
    <t>Testing Document</t>
  </si>
  <si>
    <t>Test by</t>
  </si>
  <si>
    <t>Test date</t>
  </si>
  <si>
    <t>ITSM Approved by</t>
  </si>
  <si>
    <t>ITSM Approved Date</t>
  </si>
  <si>
    <t>Scheduled Start Time</t>
  </si>
  <si>
    <t>Scheduled End Time</t>
  </si>
  <si>
    <t>Resolved Date</t>
  </si>
  <si>
    <t>Actual Time Start</t>
  </si>
  <si>
    <t>Actual Time End</t>
  </si>
  <si>
    <t>56238</t>
  </si>
  <si>
    <t>FW: VNG- T11.25 Lỗi in sổ phụ vẫn hiện thị tên cũ Công Ty Cổ phần VNG</t>
  </si>
  <si>
    <t>Thảo. Nguyễn Thụy Phương</t>
  </si>
  <si>
    <t>Tính. Hồ Tính</t>
  </si>
  <si>
    <t>Low</t>
  </si>
  <si>
    <t>Closed</t>
  </si>
  <si>
    <t>VNG Campus</t>
  </si>
  <si>
    <t>ERP Helpdesk</t>
  </si>
  <si>
    <t>false</t>
  </si>
  <si>
    <t>System</t>
  </si>
  <si>
    <t>-</t>
  </si>
  <si>
    <t>hainh5</t>
  </si>
  <si>
    <t>56343</t>
  </si>
  <si>
    <t>[SOX ITGC] Tạo bảng Access Matrix mapping từ hệ thống theo nghiệp vụ</t>
  </si>
  <si>
    <t>56344</t>
  </si>
  <si>
    <t>[SOX ITGC] Gửi Review Access định kỳ theo policy</t>
  </si>
  <si>
    <t>56345</t>
  </si>
  <si>
    <t>[SOX ITGC] Cập nhật tài liệu MA - MC - MO</t>
  </si>
  <si>
    <t>Cancelled</t>
  </si>
  <si>
    <t>56570</t>
  </si>
  <si>
    <t>TEST</t>
  </si>
  <si>
    <t>An. Nguyễn Thị Trường (7)</t>
  </si>
  <si>
    <t>Tuân. Nguyễn Đình (2)</t>
  </si>
  <si>
    <t>56645</t>
  </si>
  <si>
    <t>DC251226017 - Lỗi import phiếu, xóa phiếu</t>
  </si>
  <si>
    <t>Giang. Bùi Thị Hà (3)</t>
  </si>
  <si>
    <t>Urgent</t>
  </si>
  <si>
    <t>High</t>
  </si>
  <si>
    <t>Approved</t>
  </si>
  <si>
    <t>56664</t>
  </si>
  <si>
    <t>Trả lời: Check BUR</t>
  </si>
  <si>
    <t>Trí. Đỗ Minh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</si>
</sst>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000000"/>
      <name val="Roboto, Arial"/>
      <family val="2"/>
    </font>
    <font>
      <b/>
      <sz val="14"/>
      <color rgb="FF295994"/>
      <name val="Roboto, Arial"/>
      <family val="2"/>
    </font>
    <font>
      <sz val="10"/>
      <color rgb="FF000000"/>
      <name val="Roboto, Arial"/>
      <family val="2"/>
    </font>
    <font>
      <b/>
      <sz val="11"/>
      <color rgb="FF000000"/>
      <name val="Roboto, Arial"/>
      <family val="2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D5DEEE"/>
      </patternFill>
    </fill>
    <fill>
      <patternFill patternType="solid">
        <fgColor rgb="FFD5DEEE"/>
      </patternFill>
    </fill>
    <fill>
      <patternFill patternType="solid">
        <fgColor rgb="FFEEEEEE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739DD5"/>
      </top>
      <bottom/>
      <diagonal/>
    </border>
    <border>
      <left/>
      <right/>
      <top/>
      <bottom/>
      <diagonal/>
    </border>
    <border>
      <left/>
      <right style="thick">
        <color rgb="FFFFFFFF"/>
      </right>
      <top/>
      <bottom style="medium">
        <color rgb="FF000000"/>
      </bottom>
      <diagonal/>
    </border>
    <border>
      <left/>
      <right style="thick">
        <color rgb="FFFFFFF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4" fillId="7" borderId="4" xfId="0" applyNumberFormat="1" applyFont="1" applyFill="1" applyBorder="1" applyAlignment="1" applyProtection="1">
      <alignment horizontal="right" vertical="top" wrapText="1"/>
    </xf>
    <xf numFmtId="0" fontId="4" fillId="8" borderId="4" xfId="0" applyNumberFormat="1" applyFont="1" applyFill="1" applyBorder="1" applyAlignment="1" applyProtection="1">
      <alignment horizontal="left" vertical="top" wrapText="1"/>
    </xf>
    <xf numFmtId="0" fontId="3" fillId="9" borderId="5" xfId="0" applyNumberFormat="1" applyFont="1" applyFill="1" applyBorder="1" applyAlignment="1" applyProtection="1">
      <alignment horizontal="right" vertical="top" wrapText="1"/>
    </xf>
    <xf numFmtId="0" fontId="3" fillId="10" borderId="5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right" vertical="top" wrapText="1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2" fillId="5" borderId="3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22" fontId="3" fillId="9" borderId="5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14"/>
  <sheetViews>
    <sheetView tabSelected="1" topLeftCell="S1" workbookViewId="0">
      <selection activeCell="Z20" sqref="Z20"/>
    </sheetView>
  </sheetViews>
  <sheetFormatPr defaultRowHeight="15"/>
  <cols>
    <col min="1" max="1" width="2" customWidth="1"/>
    <col min="2" max="2" width="13.28515625" customWidth="1"/>
    <col min="3" max="6" width="33.28515625" customWidth="1"/>
    <col min="7" max="8" width="16.7109375" customWidth="1"/>
    <col min="9" max="12" width="33.28515625" customWidth="1"/>
    <col min="13" max="13" width="13.28515625" customWidth="1"/>
    <col min="14" max="14" width="33.28515625" customWidth="1"/>
    <col min="15" max="16" width="16.7109375" customWidth="1"/>
    <col min="17" max="17" width="33.28515625" customWidth="1"/>
    <col min="18" max="18" width="16.7109375" customWidth="1"/>
    <col min="19" max="21" width="33.28515625" customWidth="1"/>
    <col min="22" max="22" width="16.7109375" customWidth="1"/>
    <col min="23" max="23" width="33.28515625" customWidth="1"/>
    <col min="24" max="29" width="16.7109375" customWidth="1"/>
    <col min="30" max="30" width="2.140625" customWidth="1"/>
  </cols>
  <sheetData>
    <row r="1" spans="1:30" ht="50.1" customHeight="1">
      <c r="A1" s="1"/>
      <c r="B1" s="1"/>
      <c r="C1" s="1"/>
      <c r="D1" s="6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1"/>
    </row>
    <row r="2" spans="1:30" ht="0.95" customHeigh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1"/>
    </row>
    <row r="3" spans="1:30" ht="20.100000000000001" customHeight="1">
      <c r="A3" s="1"/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"/>
    </row>
    <row r="4" spans="1:30" ht="15" customHeight="1">
      <c r="A4" s="1"/>
      <c r="B4" s="9" t="s">
        <v>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"/>
    </row>
    <row r="5" spans="1:30" ht="15" customHeight="1">
      <c r="A5" s="1"/>
      <c r="B5" s="9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"/>
    </row>
    <row r="6" spans="1:30" ht="0.95" customHeight="1">
      <c r="A6" s="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1"/>
    </row>
    <row r="7" spans="1:30" ht="30" customHeight="1">
      <c r="A7" s="1"/>
      <c r="B7" s="2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2" t="s">
        <v>9</v>
      </c>
      <c r="H7" s="2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 t="s">
        <v>16</v>
      </c>
      <c r="O7" s="2" t="s">
        <v>17</v>
      </c>
      <c r="P7" s="2" t="s">
        <v>18</v>
      </c>
      <c r="Q7" s="3" t="s">
        <v>19</v>
      </c>
      <c r="R7" s="2" t="s">
        <v>20</v>
      </c>
      <c r="S7" s="3" t="s">
        <v>21</v>
      </c>
      <c r="T7" s="3" t="s">
        <v>22</v>
      </c>
      <c r="U7" s="3" t="s">
        <v>23</v>
      </c>
      <c r="V7" s="2" t="s">
        <v>24</v>
      </c>
      <c r="W7" s="3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1"/>
    </row>
    <row r="8" spans="1:30" ht="27.95" customHeight="1">
      <c r="A8" s="1"/>
      <c r="B8" s="4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10">
        <v>46114.719444444447</v>
      </c>
      <c r="H8" s="10">
        <f>G8+7</f>
        <v>46121.719444444447</v>
      </c>
      <c r="I8" s="5" t="s">
        <v>37</v>
      </c>
      <c r="J8" s="5" t="s">
        <v>38</v>
      </c>
      <c r="K8" s="5" t="s">
        <v>36</v>
      </c>
      <c r="L8" s="5" t="s">
        <v>39</v>
      </c>
      <c r="M8" s="5" t="s">
        <v>40</v>
      </c>
      <c r="N8" s="5" t="s">
        <v>41</v>
      </c>
      <c r="O8" s="10">
        <f>H8+3</f>
        <v>46124.719444444447</v>
      </c>
      <c r="P8" s="10">
        <f>O8-1</f>
        <v>46123.719444444447</v>
      </c>
      <c r="Q8" s="5" t="s">
        <v>42</v>
      </c>
      <c r="R8" s="10">
        <f>O8</f>
        <v>46124.719444444447</v>
      </c>
      <c r="S8" s="5" t="s">
        <v>36</v>
      </c>
      <c r="T8" s="5" t="s">
        <v>42</v>
      </c>
      <c r="U8" s="5" t="s">
        <v>42</v>
      </c>
      <c r="V8" s="4" t="s">
        <v>42</v>
      </c>
      <c r="W8" s="5" t="s">
        <v>43</v>
      </c>
      <c r="X8" s="4" t="s">
        <v>42</v>
      </c>
      <c r="Y8" s="4" t="s">
        <v>42</v>
      </c>
      <c r="Z8" s="4" t="s">
        <v>42</v>
      </c>
      <c r="AA8" s="10">
        <f>R8-0.5</f>
        <v>46124.219444444447</v>
      </c>
      <c r="AB8" s="10">
        <f>AA8+0.5</f>
        <v>46124.719444444447</v>
      </c>
      <c r="AC8" s="10">
        <f>AB8+2</f>
        <v>46126.719444444447</v>
      </c>
      <c r="AD8" s="1"/>
    </row>
    <row r="9" spans="1:30" ht="27.95" customHeight="1">
      <c r="A9" s="1"/>
      <c r="B9" s="4" t="s">
        <v>44</v>
      </c>
      <c r="C9" s="5" t="s">
        <v>45</v>
      </c>
      <c r="D9" s="5" t="s">
        <v>35</v>
      </c>
      <c r="E9" s="5" t="s">
        <v>35</v>
      </c>
      <c r="F9" s="5" t="s">
        <v>36</v>
      </c>
      <c r="G9" s="10">
        <v>46175.719444444447</v>
      </c>
      <c r="H9" s="10">
        <f t="shared" ref="H9:H14" si="0">G9+7</f>
        <v>46182.719444444447</v>
      </c>
      <c r="I9" s="5" t="s">
        <v>37</v>
      </c>
      <c r="J9" s="5" t="s">
        <v>38</v>
      </c>
      <c r="K9" s="5" t="s">
        <v>36</v>
      </c>
      <c r="L9" s="5" t="s">
        <v>39</v>
      </c>
      <c r="M9" s="5" t="s">
        <v>40</v>
      </c>
      <c r="N9" s="5" t="s">
        <v>35</v>
      </c>
      <c r="O9" s="10">
        <f t="shared" ref="O9:O14" si="1">H9+3</f>
        <v>46185.719444444447</v>
      </c>
      <c r="P9" s="10">
        <f t="shared" ref="P9:P14" si="2">O9-1</f>
        <v>46184.719444444447</v>
      </c>
      <c r="Q9" s="5" t="s">
        <v>42</v>
      </c>
      <c r="R9" s="10">
        <f t="shared" ref="R9:R14" si="3">O9</f>
        <v>46185.719444444447</v>
      </c>
      <c r="S9" s="5" t="s">
        <v>36</v>
      </c>
      <c r="T9" s="5" t="s">
        <v>42</v>
      </c>
      <c r="U9" s="5" t="s">
        <v>42</v>
      </c>
      <c r="V9" s="4" t="s">
        <v>42</v>
      </c>
      <c r="W9" s="5" t="s">
        <v>43</v>
      </c>
      <c r="X9" s="4" t="s">
        <v>42</v>
      </c>
      <c r="Y9" s="4" t="s">
        <v>42</v>
      </c>
      <c r="Z9" s="4" t="s">
        <v>42</v>
      </c>
      <c r="AA9" s="10">
        <f t="shared" ref="AA9:AA14" si="4">R9-0.5</f>
        <v>46185.219444444447</v>
      </c>
      <c r="AB9" s="10">
        <f t="shared" ref="AB9:AB14" si="5">AA9+0.5</f>
        <v>46185.719444444447</v>
      </c>
      <c r="AC9" s="10">
        <f t="shared" ref="AC9:AC14" si="6">AB9+2</f>
        <v>46187.719444444447</v>
      </c>
      <c r="AD9" s="1"/>
    </row>
    <row r="10" spans="1:30" ht="27.95" customHeight="1">
      <c r="A10" s="1"/>
      <c r="B10" s="4" t="s">
        <v>46</v>
      </c>
      <c r="C10" s="5" t="s">
        <v>47</v>
      </c>
      <c r="D10" s="5" t="s">
        <v>35</v>
      </c>
      <c r="E10" s="5" t="s">
        <v>35</v>
      </c>
      <c r="F10" s="5" t="s">
        <v>36</v>
      </c>
      <c r="G10" s="10">
        <v>46024.719444444447</v>
      </c>
      <c r="H10" s="10">
        <f t="shared" si="0"/>
        <v>46031.719444444447</v>
      </c>
      <c r="I10" s="5" t="s">
        <v>37</v>
      </c>
      <c r="J10" s="5" t="s">
        <v>38</v>
      </c>
      <c r="K10" s="5" t="s">
        <v>36</v>
      </c>
      <c r="L10" s="5" t="s">
        <v>39</v>
      </c>
      <c r="M10" s="5" t="s">
        <v>40</v>
      </c>
      <c r="N10" s="5" t="s">
        <v>35</v>
      </c>
      <c r="O10" s="10">
        <f t="shared" si="1"/>
        <v>46034.719444444447</v>
      </c>
      <c r="P10" s="10">
        <f t="shared" si="2"/>
        <v>46033.719444444447</v>
      </c>
      <c r="Q10" s="5" t="s">
        <v>42</v>
      </c>
      <c r="R10" s="10">
        <f t="shared" si="3"/>
        <v>46034.719444444447</v>
      </c>
      <c r="S10" s="5" t="s">
        <v>36</v>
      </c>
      <c r="T10" s="5" t="s">
        <v>42</v>
      </c>
      <c r="U10" s="5" t="s">
        <v>42</v>
      </c>
      <c r="V10" s="4" t="s">
        <v>42</v>
      </c>
      <c r="W10" s="5" t="s">
        <v>43</v>
      </c>
      <c r="X10" s="4" t="s">
        <v>42</v>
      </c>
      <c r="Y10" s="4" t="s">
        <v>42</v>
      </c>
      <c r="Z10" s="4" t="s">
        <v>42</v>
      </c>
      <c r="AA10" s="10">
        <f t="shared" si="4"/>
        <v>46034.219444444447</v>
      </c>
      <c r="AB10" s="10">
        <f t="shared" si="5"/>
        <v>46034.719444444447</v>
      </c>
      <c r="AC10" s="10">
        <f t="shared" si="6"/>
        <v>46036.719444444447</v>
      </c>
      <c r="AD10" s="1"/>
    </row>
    <row r="11" spans="1:30" ht="27.95" customHeight="1">
      <c r="A11" s="1"/>
      <c r="B11" s="4" t="s">
        <v>48</v>
      </c>
      <c r="C11" s="5" t="s">
        <v>49</v>
      </c>
      <c r="D11" s="5" t="s">
        <v>35</v>
      </c>
      <c r="E11" s="5" t="s">
        <v>35</v>
      </c>
      <c r="F11" s="5" t="s">
        <v>36</v>
      </c>
      <c r="G11" s="10">
        <v>46024.719444444447</v>
      </c>
      <c r="H11" s="10">
        <f t="shared" si="0"/>
        <v>46031.719444444447</v>
      </c>
      <c r="I11" s="5" t="s">
        <v>50</v>
      </c>
      <c r="J11" s="5" t="s">
        <v>38</v>
      </c>
      <c r="K11" s="5" t="s">
        <v>36</v>
      </c>
      <c r="L11" s="5" t="s">
        <v>39</v>
      </c>
      <c r="M11" s="5" t="s">
        <v>40</v>
      </c>
      <c r="N11" s="5" t="s">
        <v>35</v>
      </c>
      <c r="O11" s="10">
        <f t="shared" si="1"/>
        <v>46034.719444444447</v>
      </c>
      <c r="P11" s="10">
        <f t="shared" si="2"/>
        <v>46033.719444444447</v>
      </c>
      <c r="Q11" s="5" t="s">
        <v>42</v>
      </c>
      <c r="R11" s="10">
        <f t="shared" si="3"/>
        <v>46034.719444444447</v>
      </c>
      <c r="S11" s="5" t="s">
        <v>36</v>
      </c>
      <c r="T11" s="5" t="s">
        <v>42</v>
      </c>
      <c r="U11" s="5" t="s">
        <v>42</v>
      </c>
      <c r="V11" s="4" t="s">
        <v>42</v>
      </c>
      <c r="W11" s="5" t="s">
        <v>43</v>
      </c>
      <c r="X11" s="4" t="s">
        <v>42</v>
      </c>
      <c r="Y11" s="4" t="s">
        <v>42</v>
      </c>
      <c r="Z11" s="4" t="s">
        <v>42</v>
      </c>
      <c r="AA11" s="10">
        <f t="shared" si="4"/>
        <v>46034.219444444447</v>
      </c>
      <c r="AB11" s="10">
        <f t="shared" si="5"/>
        <v>46034.719444444447</v>
      </c>
      <c r="AC11" s="10">
        <f t="shared" si="6"/>
        <v>46036.719444444447</v>
      </c>
      <c r="AD11" s="1"/>
    </row>
    <row r="12" spans="1:30" ht="27.95" customHeight="1">
      <c r="A12" s="1"/>
      <c r="B12" s="4" t="s">
        <v>51</v>
      </c>
      <c r="C12" s="5" t="s">
        <v>52</v>
      </c>
      <c r="D12" s="5" t="s">
        <v>53</v>
      </c>
      <c r="E12" s="5" t="s">
        <v>35</v>
      </c>
      <c r="F12" s="5" t="s">
        <v>36</v>
      </c>
      <c r="G12" s="10">
        <v>46114.719444444447</v>
      </c>
      <c r="H12" s="10">
        <f t="shared" si="0"/>
        <v>46121.719444444447</v>
      </c>
      <c r="I12" s="5" t="s">
        <v>37</v>
      </c>
      <c r="J12" s="5" t="s">
        <v>38</v>
      </c>
      <c r="K12" s="5" t="s">
        <v>36</v>
      </c>
      <c r="L12" s="5" t="s">
        <v>39</v>
      </c>
      <c r="M12" s="5" t="s">
        <v>40</v>
      </c>
      <c r="N12" s="5" t="s">
        <v>54</v>
      </c>
      <c r="O12" s="10">
        <f t="shared" si="1"/>
        <v>46124.719444444447</v>
      </c>
      <c r="P12" s="10">
        <f t="shared" si="2"/>
        <v>46123.719444444447</v>
      </c>
      <c r="Q12" s="5" t="s">
        <v>42</v>
      </c>
      <c r="R12" s="10">
        <f t="shared" si="3"/>
        <v>46124.719444444447</v>
      </c>
      <c r="S12" s="5" t="s">
        <v>36</v>
      </c>
      <c r="T12" s="5" t="s">
        <v>42</v>
      </c>
      <c r="U12" s="5" t="s">
        <v>42</v>
      </c>
      <c r="V12" s="4" t="s">
        <v>42</v>
      </c>
      <c r="W12" s="5" t="s">
        <v>42</v>
      </c>
      <c r="X12" s="4" t="s">
        <v>42</v>
      </c>
      <c r="Y12" s="4" t="s">
        <v>42</v>
      </c>
      <c r="Z12" s="4" t="s">
        <v>42</v>
      </c>
      <c r="AA12" s="10">
        <f t="shared" si="4"/>
        <v>46124.219444444447</v>
      </c>
      <c r="AB12" s="10">
        <f t="shared" si="5"/>
        <v>46124.719444444447</v>
      </c>
      <c r="AC12" s="10">
        <f t="shared" si="6"/>
        <v>46126.719444444447</v>
      </c>
      <c r="AD12" s="1"/>
    </row>
    <row r="13" spans="1:30" ht="27.95" customHeight="1">
      <c r="A13" s="1"/>
      <c r="B13" s="4" t="s">
        <v>55</v>
      </c>
      <c r="C13" s="5" t="s">
        <v>56</v>
      </c>
      <c r="D13" s="5" t="s">
        <v>57</v>
      </c>
      <c r="E13" s="5" t="s">
        <v>35</v>
      </c>
      <c r="F13" s="5" t="s">
        <v>58</v>
      </c>
      <c r="G13" s="10">
        <v>46175.719444444447</v>
      </c>
      <c r="H13" s="10">
        <f t="shared" si="0"/>
        <v>46182.719444444447</v>
      </c>
      <c r="I13" s="5" t="s">
        <v>37</v>
      </c>
      <c r="J13" s="5" t="s">
        <v>38</v>
      </c>
      <c r="K13" s="5" t="s">
        <v>59</v>
      </c>
      <c r="L13" s="5" t="s">
        <v>39</v>
      </c>
      <c r="M13" s="5" t="s">
        <v>40</v>
      </c>
      <c r="N13" s="5" t="s">
        <v>41</v>
      </c>
      <c r="O13" s="10">
        <f t="shared" si="1"/>
        <v>46185.719444444447</v>
      </c>
      <c r="P13" s="10">
        <f t="shared" si="2"/>
        <v>46184.719444444447</v>
      </c>
      <c r="Q13" s="5" t="s">
        <v>60</v>
      </c>
      <c r="R13" s="10">
        <f t="shared" si="3"/>
        <v>46185.719444444447</v>
      </c>
      <c r="S13" s="5" t="s">
        <v>36</v>
      </c>
      <c r="T13" s="5" t="s">
        <v>42</v>
      </c>
      <c r="U13" s="5" t="s">
        <v>42</v>
      </c>
      <c r="V13" s="4" t="s">
        <v>42</v>
      </c>
      <c r="W13" s="5" t="s">
        <v>43</v>
      </c>
      <c r="X13" s="4" t="s">
        <v>42</v>
      </c>
      <c r="Y13" s="4" t="s">
        <v>42</v>
      </c>
      <c r="Z13" s="4" t="s">
        <v>42</v>
      </c>
      <c r="AA13" s="10">
        <f t="shared" si="4"/>
        <v>46185.219444444447</v>
      </c>
      <c r="AB13" s="10">
        <f t="shared" si="5"/>
        <v>46185.719444444447</v>
      </c>
      <c r="AC13" s="10">
        <f t="shared" si="6"/>
        <v>46187.719444444447</v>
      </c>
      <c r="AD13" s="1"/>
    </row>
    <row r="14" spans="1:30" ht="27.95" customHeight="1">
      <c r="A14" s="1"/>
      <c r="B14" s="4" t="s">
        <v>61</v>
      </c>
      <c r="C14" s="5" t="s">
        <v>62</v>
      </c>
      <c r="D14" s="5" t="s">
        <v>63</v>
      </c>
      <c r="E14" s="5" t="s">
        <v>35</v>
      </c>
      <c r="F14" s="5" t="s">
        <v>36</v>
      </c>
      <c r="G14" s="10">
        <v>46175.719444444447</v>
      </c>
      <c r="H14" s="10">
        <f t="shared" si="0"/>
        <v>46182.719444444447</v>
      </c>
      <c r="I14" s="5" t="s">
        <v>37</v>
      </c>
      <c r="J14" s="5" t="s">
        <v>38</v>
      </c>
      <c r="K14" s="5" t="s">
        <v>36</v>
      </c>
      <c r="L14" s="5" t="s">
        <v>39</v>
      </c>
      <c r="M14" s="5" t="s">
        <v>40</v>
      </c>
      <c r="N14" s="5" t="s">
        <v>41</v>
      </c>
      <c r="O14" s="10">
        <f t="shared" si="1"/>
        <v>46185.719444444447</v>
      </c>
      <c r="P14" s="10">
        <f t="shared" si="2"/>
        <v>46184.719444444447</v>
      </c>
      <c r="Q14" s="5" t="s">
        <v>42</v>
      </c>
      <c r="R14" s="10">
        <f t="shared" si="3"/>
        <v>46185.719444444447</v>
      </c>
      <c r="S14" s="5" t="s">
        <v>36</v>
      </c>
      <c r="T14" s="5" t="s">
        <v>42</v>
      </c>
      <c r="U14" s="5" t="s">
        <v>42</v>
      </c>
      <c r="V14" s="4" t="s">
        <v>42</v>
      </c>
      <c r="W14" s="5" t="s">
        <v>43</v>
      </c>
      <c r="X14" s="4" t="s">
        <v>42</v>
      </c>
      <c r="Y14" s="4" t="s">
        <v>42</v>
      </c>
      <c r="Z14" s="4" t="s">
        <v>42</v>
      </c>
      <c r="AA14" s="10">
        <f t="shared" si="4"/>
        <v>46185.219444444447</v>
      </c>
      <c r="AB14" s="10">
        <f t="shared" si="5"/>
        <v>46185.719444444447</v>
      </c>
      <c r="AC14" s="10">
        <f t="shared" si="6"/>
        <v>46187.719444444447</v>
      </c>
      <c r="AD14" s="1"/>
    </row>
  </sheetData>
  <mergeCells count="6">
    <mergeCell ref="B6:AC6"/>
    <mergeCell ref="D1:AC1"/>
    <mergeCell ref="B2:AC2"/>
    <mergeCell ref="B3:AC3"/>
    <mergeCell ref="B4:AC4"/>
    <mergeCell ref="B5:AC5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ManageEngine Report Framework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2026-06-17T04:47:12Z</dcterms:modified>
</cp:coreProperties>
</file>